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se model" sheetId="1" r:id="rId5"/>
  </sheets>
  <definedNames/>
  <calcPr/>
</workbook>
</file>

<file path=xl/sharedStrings.xml><?xml version="1.0" encoding="utf-8"?>
<sst xmlns="http://schemas.openxmlformats.org/spreadsheetml/2006/main" count="44" uniqueCount="42">
  <si>
    <t>Discounts for volume of consumables</t>
  </si>
  <si>
    <t>Metric</t>
  </si>
  <si>
    <t>Product 1 Sealer</t>
  </si>
  <si>
    <t>Product 2 - 250ml</t>
  </si>
  <si>
    <t>Product 3 - 300ml</t>
  </si>
  <si>
    <t>Product 4 - 500ml</t>
  </si>
  <si>
    <t>Product 5 - cover</t>
  </si>
  <si>
    <t>Product</t>
  </si>
  <si>
    <t>PVP neto</t>
  </si>
  <si>
    <t>Amount in a box</t>
  </si>
  <si>
    <t>Unit Cost (EUR)</t>
  </si>
  <si>
    <t>250 ml</t>
  </si>
  <si>
    <t>0,62 €</t>
  </si>
  <si>
    <t>0,59 €</t>
  </si>
  <si>
    <t>0,56 €</t>
  </si>
  <si>
    <t>0,53 €</t>
  </si>
  <si>
    <t>Retail Price (EUR)</t>
  </si>
  <si>
    <t>315 ml</t>
  </si>
  <si>
    <t>0,63 €</t>
  </si>
  <si>
    <t>0,60 €</t>
  </si>
  <si>
    <t>0,57 €</t>
  </si>
  <si>
    <t>0,54 €</t>
  </si>
  <si>
    <t>Margin</t>
  </si>
  <si>
    <t>500 ml</t>
  </si>
  <si>
    <t>0,68 €</t>
  </si>
  <si>
    <t>0,65 €</t>
  </si>
  <si>
    <t>0,61 €</t>
  </si>
  <si>
    <t>0,58 €</t>
  </si>
  <si>
    <t>Initial Monthly Sales Volume</t>
  </si>
  <si>
    <t>Cover</t>
  </si>
  <si>
    <t>0,10 €</t>
  </si>
  <si>
    <t>0,09 €</t>
  </si>
  <si>
    <t>Month-over-Month Growth Rate (%)</t>
  </si>
  <si>
    <t>1 box = 0%, 2 boxes = 5%, 3-5 boxes = 10%, 6+ boxes = 15%</t>
  </si>
  <si>
    <t>Initial Starting Stock (Units)</t>
  </si>
  <si>
    <t>Lease contracts with cans commitment</t>
  </si>
  <si>
    <t>Min cans volume per month</t>
  </si>
  <si>
    <t>cans per day</t>
  </si>
  <si>
    <t>mothly lease per machine (EUR)</t>
  </si>
  <si>
    <t>Initial machine downpayment (EUR)</t>
  </si>
  <si>
    <t>Monthy lease cash flow</t>
  </si>
  <si>
    <t>Annual sale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</si>
</sst>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0.0%"/>
  </numFmts>
  <fonts count="10">
    <font>
      <sz val="10.0"/>
      <color rgb="FF000000"/>
      <name val="Arial"/>
      <scheme val="minor"/>
    </font>
    <font>
      <b/>
      <color rgb="FF3D4657"/>
      <name val="Arial"/>
      <scheme val="minor"/>
    </font>
    <font>
      <color rgb="FF14181F"/>
      <name val="Arial"/>
    </font>
    <font>
      <color rgb="FF676F7E"/>
      <name val="Ui-sans-serif"/>
    </font>
    <font>
      <color rgb="FF14181F"/>
      <name val="Ui-sans-serif"/>
    </font>
    <font>
      <color rgb="FF676F7E"/>
      <name val="Arial"/>
    </font>
    <font>
      <sz val="10.0"/>
      <color theme="1"/>
      <name val="Roboto"/>
    </font>
    <font>
      <b/>
      <color rgb="FF142952"/>
      <name val="Ui-sans-serif"/>
    </font>
    <font>
      <sz val="9.0"/>
      <color rgb="FF676F7E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AE1F8"/>
        <bgColor rgb="FFDAE1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3" numFmtId="0" xfId="0" applyAlignment="1" applyFont="1">
      <alignment horizontal="right" readingOrder="0"/>
    </xf>
    <xf borderId="0" fillId="3" fontId="3" numFmtId="9" xfId="0" applyAlignment="1" applyFont="1" applyNumberFormat="1">
      <alignment horizontal="right" readingOrder="0"/>
    </xf>
    <xf borderId="0" fillId="3" fontId="3" numFmtId="0" xfId="0" applyAlignment="1" applyFon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4" fontId="6" numFmtId="164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3" fontId="4" numFmtId="0" xfId="0" applyAlignment="1" applyFont="1">
      <alignment horizontal="right" readingOrder="0"/>
    </xf>
    <xf borderId="0" fillId="3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5" fontId="6" numFmtId="164" xfId="0" applyAlignment="1" applyFill="1" applyFont="1" applyNumberFormat="1">
      <alignment readingOrder="0"/>
    </xf>
    <xf borderId="0" fillId="4" fontId="6" numFmtId="0" xfId="0" applyAlignment="1" applyFont="1">
      <alignment readingOrder="0"/>
    </xf>
    <xf borderId="0" fillId="4" fontId="6" numFmtId="165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6" fontId="6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7" fontId="9" numFmtId="0" xfId="0" applyAlignment="1" applyFill="1" applyFont="1">
      <alignment readingOrder="0"/>
    </xf>
    <xf borderId="0" fillId="0" fontId="9" numFmtId="1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4.13"/>
    <col customWidth="1" min="3" max="5" width="14.88"/>
    <col customWidth="1" min="6" max="6" width="14.63"/>
  </cols>
  <sheetData>
    <row r="1">
      <c r="A1" s="1"/>
      <c r="B1" s="1"/>
      <c r="C1" s="1"/>
      <c r="D1" s="1"/>
      <c r="E1" s="1"/>
      <c r="F1" s="1"/>
      <c r="H1" s="2" t="s">
        <v>0</v>
      </c>
      <c r="I1" s="3"/>
      <c r="J1" s="4"/>
      <c r="K1" s="4"/>
      <c r="L1" s="4"/>
      <c r="M1" s="5"/>
      <c r="N1" s="6"/>
      <c r="O1" s="6"/>
      <c r="P1" s="6"/>
      <c r="Q1" s="7"/>
      <c r="R1" s="7"/>
      <c r="S1" s="6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s="2" t="s">
        <v>7</v>
      </c>
      <c r="I2" s="3" t="s">
        <v>8</v>
      </c>
      <c r="J2" s="4">
        <v>0.05</v>
      </c>
      <c r="K2" s="4">
        <v>0.1</v>
      </c>
      <c r="L2" s="4">
        <v>0.15</v>
      </c>
      <c r="M2" s="8" t="s">
        <v>9</v>
      </c>
      <c r="N2" s="6"/>
      <c r="O2" s="6"/>
      <c r="P2" s="6"/>
      <c r="Q2" s="7"/>
      <c r="R2" s="7"/>
      <c r="S2" s="6"/>
    </row>
    <row r="3">
      <c r="A3" s="9" t="s">
        <v>10</v>
      </c>
      <c r="B3" s="10">
        <v>350.0</v>
      </c>
      <c r="C3" s="10">
        <v>0.27</v>
      </c>
      <c r="D3" s="10">
        <v>0.29</v>
      </c>
      <c r="E3" s="10">
        <v>0.34</v>
      </c>
      <c r="F3" s="10">
        <v>0.04</v>
      </c>
      <c r="H3" s="11" t="s">
        <v>11</v>
      </c>
      <c r="I3" s="12" t="s">
        <v>12</v>
      </c>
      <c r="J3" s="3" t="s">
        <v>13</v>
      </c>
      <c r="K3" s="3" t="s">
        <v>14</v>
      </c>
      <c r="L3" s="3" t="s">
        <v>15</v>
      </c>
      <c r="M3" s="13">
        <v>390.0</v>
      </c>
      <c r="N3" s="14"/>
      <c r="O3" s="14"/>
      <c r="P3" s="14"/>
      <c r="Q3" s="15"/>
      <c r="R3" s="16"/>
      <c r="S3" s="16"/>
    </row>
    <row r="4">
      <c r="A4" s="9" t="s">
        <v>16</v>
      </c>
      <c r="B4" s="10">
        <v>700.0</v>
      </c>
      <c r="C4" s="10">
        <v>0.62</v>
      </c>
      <c r="D4" s="10">
        <v>0.63</v>
      </c>
      <c r="E4" s="10">
        <v>0.68</v>
      </c>
      <c r="F4" s="10">
        <v>0.1</v>
      </c>
      <c r="H4" s="11" t="s">
        <v>17</v>
      </c>
      <c r="I4" s="12" t="s">
        <v>18</v>
      </c>
      <c r="J4" s="3" t="s">
        <v>19</v>
      </c>
      <c r="K4" s="3" t="s">
        <v>20</v>
      </c>
      <c r="L4" s="3" t="s">
        <v>21</v>
      </c>
      <c r="M4" s="13">
        <v>283.0</v>
      </c>
      <c r="N4" s="16"/>
      <c r="O4" s="14"/>
      <c r="P4" s="14"/>
      <c r="Q4" s="15"/>
      <c r="R4" s="16"/>
      <c r="S4" s="14"/>
    </row>
    <row r="5">
      <c r="A5" s="9" t="s">
        <v>22</v>
      </c>
      <c r="B5" s="17">
        <f t="shared" ref="B5:F5" si="1">B4-B3</f>
        <v>350</v>
      </c>
      <c r="C5" s="17">
        <f t="shared" si="1"/>
        <v>0.35</v>
      </c>
      <c r="D5" s="17">
        <f t="shared" si="1"/>
        <v>0.34</v>
      </c>
      <c r="E5" s="17">
        <f t="shared" si="1"/>
        <v>0.34</v>
      </c>
      <c r="F5" s="17">
        <f t="shared" si="1"/>
        <v>0.06</v>
      </c>
      <c r="H5" s="11" t="s">
        <v>23</v>
      </c>
      <c r="I5" s="12" t="s">
        <v>24</v>
      </c>
      <c r="J5" s="3" t="s">
        <v>25</v>
      </c>
      <c r="K5" s="3" t="s">
        <v>26</v>
      </c>
      <c r="L5" s="3" t="s">
        <v>27</v>
      </c>
      <c r="M5" s="13">
        <v>190.0</v>
      </c>
      <c r="N5" s="16"/>
      <c r="O5" s="14"/>
      <c r="P5" s="14"/>
      <c r="Q5" s="15"/>
      <c r="R5" s="16"/>
      <c r="S5" s="14"/>
    </row>
    <row r="6">
      <c r="A6" s="9" t="s">
        <v>28</v>
      </c>
      <c r="B6" s="18">
        <v>40.0</v>
      </c>
      <c r="C6" s="18">
        <v>10000.0</v>
      </c>
      <c r="D6" s="18">
        <v>10000.0</v>
      </c>
      <c r="E6" s="18">
        <v>20000.0</v>
      </c>
      <c r="F6" s="18">
        <v>40000.0</v>
      </c>
      <c r="H6" s="11" t="s">
        <v>29</v>
      </c>
      <c r="I6" s="12" t="s">
        <v>30</v>
      </c>
      <c r="J6" s="3" t="s">
        <v>30</v>
      </c>
      <c r="K6" s="3" t="s">
        <v>31</v>
      </c>
      <c r="L6" s="3" t="s">
        <v>31</v>
      </c>
      <c r="M6" s="13">
        <v>100.0</v>
      </c>
      <c r="N6" s="14"/>
      <c r="O6" s="14"/>
      <c r="P6" s="14"/>
      <c r="Q6" s="15"/>
      <c r="R6" s="16"/>
      <c r="S6" s="16"/>
    </row>
    <row r="7">
      <c r="A7" s="9" t="s">
        <v>32</v>
      </c>
      <c r="B7" s="19">
        <v>0.05</v>
      </c>
      <c r="C7" s="19">
        <v>1.0</v>
      </c>
      <c r="D7" s="19">
        <v>1.0</v>
      </c>
      <c r="E7" s="19">
        <v>1.0</v>
      </c>
      <c r="F7" s="19">
        <v>1.0</v>
      </c>
      <c r="H7" s="20" t="s">
        <v>33</v>
      </c>
    </row>
    <row r="8">
      <c r="A8" s="9" t="s">
        <v>34</v>
      </c>
      <c r="B8" s="21">
        <v>50.0</v>
      </c>
      <c r="C8" s="21">
        <v>20000.0</v>
      </c>
      <c r="D8" s="21">
        <v>24000.0</v>
      </c>
      <c r="E8" s="21">
        <v>59000.0</v>
      </c>
      <c r="F8" s="21">
        <v>100000.0</v>
      </c>
    </row>
    <row r="11">
      <c r="A11" s="22" t="s">
        <v>35</v>
      </c>
    </row>
    <row r="12">
      <c r="A12" s="23" t="s">
        <v>36</v>
      </c>
      <c r="B12" s="23">
        <v>1000.0</v>
      </c>
      <c r="C12" s="23">
        <v>1500.0</v>
      </c>
      <c r="D12" s="23">
        <v>2000.0</v>
      </c>
      <c r="E12" s="23">
        <v>3000.0</v>
      </c>
      <c r="F12" s="23">
        <v>4000.0</v>
      </c>
    </row>
    <row r="13">
      <c r="A13" s="22" t="s">
        <v>37</v>
      </c>
      <c r="B13" s="24">
        <f t="shared" ref="B13:F13" si="2">B12/30</f>
        <v>33.33333333</v>
      </c>
      <c r="C13" s="24">
        <f t="shared" si="2"/>
        <v>50</v>
      </c>
      <c r="D13" s="24">
        <f t="shared" si="2"/>
        <v>66.66666667</v>
      </c>
      <c r="E13" s="24">
        <f t="shared" si="2"/>
        <v>100</v>
      </c>
      <c r="F13" s="24">
        <f t="shared" si="2"/>
        <v>133.3333333</v>
      </c>
    </row>
    <row r="14">
      <c r="A14" s="22" t="s">
        <v>38</v>
      </c>
      <c r="B14" s="22">
        <v>49.0</v>
      </c>
      <c r="C14" s="22">
        <v>39.0</v>
      </c>
      <c r="D14" s="22">
        <v>29.0</v>
      </c>
      <c r="E14" s="22">
        <v>19.0</v>
      </c>
      <c r="F14" s="22">
        <v>0.0</v>
      </c>
    </row>
    <row r="16">
      <c r="A16" s="22" t="s">
        <v>39</v>
      </c>
      <c r="B16" s="25">
        <v>200.0</v>
      </c>
      <c r="C16" s="25">
        <v>200.0</v>
      </c>
      <c r="D16" s="25">
        <v>200.0</v>
      </c>
      <c r="E16" s="25">
        <v>200.0</v>
      </c>
      <c r="F16" s="25">
        <v>200.0</v>
      </c>
    </row>
    <row r="19">
      <c r="A19" s="22" t="s">
        <v>40</v>
      </c>
      <c r="B19" s="26">
        <f t="shared" ref="B19:F19" si="3">B12*($C$5+$F$5)+B14</f>
        <v>459</v>
      </c>
      <c r="C19" s="26">
        <f t="shared" si="3"/>
        <v>654</v>
      </c>
      <c r="D19" s="26">
        <f t="shared" si="3"/>
        <v>849</v>
      </c>
      <c r="E19" s="26">
        <f t="shared" si="3"/>
        <v>1249</v>
      </c>
      <c r="F19" s="26">
        <f t="shared" si="3"/>
        <v>1640</v>
      </c>
    </row>
    <row r="20">
      <c r="A20" s="22" t="s">
        <v>41</v>
      </c>
      <c r="B20" s="26">
        <f t="shared" ref="B20:F20" si="4">B16+12*B19</f>
        <v>5708</v>
      </c>
      <c r="C20" s="26">
        <f t="shared" si="4"/>
        <v>8048</v>
      </c>
      <c r="D20" s="26">
        <f t="shared" si="4"/>
        <v>10388</v>
      </c>
      <c r="E20" s="26">
        <f t="shared" si="4"/>
        <v>15188</v>
      </c>
      <c r="F20" s="26">
        <f t="shared" si="4"/>
        <v>19880</v>
      </c>
    </row>
  </sheetData>
  <drawing r:id="rId1"/>
</worksheet>
</file>